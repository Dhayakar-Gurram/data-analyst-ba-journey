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tlp0\Music\Folder\25 Aug 2026\"/>
    </mc:Choice>
  </mc:AlternateContent>
  <xr:revisionPtr revIDLastSave="0" documentId="13_ncr:1_{0CC89A40-02B8-43FE-B761-61101855386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3" i="3"/>
  <c r="E2" i="3"/>
  <c r="F3" i="1"/>
  <c r="F4" i="1"/>
  <c r="F5" i="1"/>
  <c r="F2" i="1"/>
  <c r="E3" i="1"/>
  <c r="E4" i="1"/>
  <c r="E5" i="1"/>
  <c r="E2" i="1"/>
  <c r="D3" i="1"/>
  <c r="D4" i="1"/>
  <c r="D2" i="1"/>
  <c r="D5" i="1"/>
  <c r="C3" i="1"/>
  <c r="C4" i="1"/>
  <c r="C5" i="1"/>
  <c r="C2" i="1"/>
</calcChain>
</file>

<file path=xl/sharedStrings.xml><?xml version="1.0" encoding="utf-8"?>
<sst xmlns="http://schemas.openxmlformats.org/spreadsheetml/2006/main" count="31" uniqueCount="22">
  <si>
    <t>Ravi</t>
  </si>
  <si>
    <t>Arjun</t>
  </si>
  <si>
    <t>Sneha</t>
  </si>
  <si>
    <t>Salary</t>
  </si>
  <si>
    <t>OrderID</t>
  </si>
  <si>
    <t>CustomerID</t>
  </si>
  <si>
    <t>C01</t>
  </si>
  <si>
    <t>C03</t>
  </si>
  <si>
    <t>C02</t>
  </si>
  <si>
    <t>Name</t>
  </si>
  <si>
    <t>City</t>
  </si>
  <si>
    <t>CreditLimit</t>
  </si>
  <si>
    <t>Dhayakar</t>
  </si>
  <si>
    <t>Hyderabad</t>
  </si>
  <si>
    <t>Mumbai</t>
  </si>
  <si>
    <t>Chennai</t>
  </si>
  <si>
    <t>IF</t>
  </si>
  <si>
    <t>IF+VLOOKUP</t>
  </si>
  <si>
    <t>Status - VL</t>
  </si>
  <si>
    <t>City - VL</t>
  </si>
  <si>
    <t>EmpID</t>
  </si>
  <si>
    <t>Index match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</si>
</sst>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C19" sqref="C19"/>
    </sheetView>
  </sheetViews>
  <sheetFormatPr defaultColWidth="18.796875" defaultRowHeight="14.25" x14ac:dyDescent="0.45"/>
  <sheetData>
    <row r="1" spans="1:6" x14ac:dyDescent="0.45">
      <c r="A1" s="1" t="s">
        <v>4</v>
      </c>
      <c r="B1" s="1" t="s">
        <v>5</v>
      </c>
      <c r="C1" s="1" t="s">
        <v>18</v>
      </c>
      <c r="D1" s="1" t="s">
        <v>19</v>
      </c>
      <c r="E1" s="1" t="s">
        <v>16</v>
      </c>
      <c r="F1" s="1" t="s">
        <v>17</v>
      </c>
    </row>
    <row r="2" spans="1:6" x14ac:dyDescent="0.45">
      <c r="A2" s="2">
        <v>1001</v>
      </c>
      <c r="B2" s="2" t="s">
        <v>6</v>
      </c>
      <c r="C2" s="2" t="str">
        <f>VLOOKUP(B2,Sheet2!A:B,2,0)</f>
        <v>Dhayakar</v>
      </c>
      <c r="D2" t="str">
        <f>VLOOKUP(B2,Sheet2!A:C,3,0)</f>
        <v>Hyderabad</v>
      </c>
      <c r="E2" t="str">
        <f>IF(Sheet2!D2&gt;45000,"Premium","Standard")</f>
        <v>Premium</v>
      </c>
      <c r="F2" t="str">
        <f>IF(VLOOKUP(B2,Sheet2!A:D,4,0)&lt;45000,"Premium","Standard")</f>
        <v>Standard</v>
      </c>
    </row>
    <row r="3" spans="1:6" x14ac:dyDescent="0.45">
      <c r="A3" s="2">
        <v>1002</v>
      </c>
      <c r="B3" s="2" t="s">
        <v>7</v>
      </c>
      <c r="C3" s="2" t="str">
        <f>VLOOKUP(B3,Sheet2!A:B,2,0)</f>
        <v>Sneha</v>
      </c>
      <c r="D3" t="str">
        <f>VLOOKUP(B3,Sheet2!A:C,3,0)</f>
        <v>Chennai</v>
      </c>
      <c r="E3" t="str">
        <f>IF(Sheet2!D3&gt;45000,"Premium","Standard")</f>
        <v>Standard</v>
      </c>
      <c r="F3" t="str">
        <f>IF(VLOOKUP(B3,Sheet2!A:D,4,0)&lt;45000,"Premium","Standard")</f>
        <v>Standard</v>
      </c>
    </row>
    <row r="4" spans="1:6" x14ac:dyDescent="0.45">
      <c r="A4" s="2">
        <v>1003</v>
      </c>
      <c r="B4" s="2" t="s">
        <v>8</v>
      </c>
      <c r="C4" s="2" t="str">
        <f>VLOOKUP(B4,Sheet2!A:B,2,0)</f>
        <v>Ravi</v>
      </c>
      <c r="D4" t="str">
        <f>VLOOKUP(B4,Sheet2!A:C,3,0)</f>
        <v>Mumbai</v>
      </c>
      <c r="E4" t="str">
        <f>IF(Sheet2!D4&gt;45000,"Premium","Standard")</f>
        <v>Premium</v>
      </c>
      <c r="F4" t="str">
        <f>IF(VLOOKUP(B4,Sheet2!A:D,4,0)&lt;45000,"Premium","Standard")</f>
        <v>Premium</v>
      </c>
    </row>
    <row r="5" spans="1:6" x14ac:dyDescent="0.45">
      <c r="A5" s="2">
        <v>1004</v>
      </c>
      <c r="B5" s="2" t="s">
        <v>6</v>
      </c>
      <c r="C5" s="2" t="str">
        <f>VLOOKUP(B5,Sheet2!A:B,2,0)</f>
        <v>Dhayakar</v>
      </c>
      <c r="D5" t="str">
        <f>VLOOKUP(B5,Sheet2!A:C,3,0)</f>
        <v>Hyderabad</v>
      </c>
      <c r="E5" t="str">
        <f>IF(Sheet2!D5&gt;45000,"Premium","Standard")</f>
        <v>Standard</v>
      </c>
      <c r="F5" t="str">
        <f>IF(VLOOKUP(B5,Sheet2!A:D,4,0)&lt;45000,"Premium","Standard")</f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A117-28D8-4B19-AB50-E989A75C05BD}">
  <dimension ref="A1:D4"/>
  <sheetViews>
    <sheetView workbookViewId="0">
      <selection activeCell="D10" sqref="D10"/>
    </sheetView>
  </sheetViews>
  <sheetFormatPr defaultColWidth="15.265625" defaultRowHeight="14.25" x14ac:dyDescent="0.45"/>
  <sheetData>
    <row r="1" spans="1:4" x14ac:dyDescent="0.45">
      <c r="A1" s="1" t="s">
        <v>5</v>
      </c>
      <c r="B1" s="1" t="s">
        <v>9</v>
      </c>
      <c r="C1" s="1" t="s">
        <v>10</v>
      </c>
      <c r="D1" s="1" t="s">
        <v>11</v>
      </c>
    </row>
    <row r="2" spans="1:4" x14ac:dyDescent="0.45">
      <c r="A2" s="2" t="s">
        <v>6</v>
      </c>
      <c r="B2" s="2" t="s">
        <v>12</v>
      </c>
      <c r="C2" s="2" t="s">
        <v>13</v>
      </c>
      <c r="D2" s="2">
        <v>50000</v>
      </c>
    </row>
    <row r="3" spans="1:4" x14ac:dyDescent="0.45">
      <c r="A3" s="2" t="s">
        <v>8</v>
      </c>
      <c r="B3" s="2" t="s">
        <v>0</v>
      </c>
      <c r="C3" s="2" t="s">
        <v>14</v>
      </c>
      <c r="D3" s="2">
        <v>30000</v>
      </c>
    </row>
    <row r="4" spans="1:4" x14ac:dyDescent="0.45">
      <c r="A4" s="2" t="s">
        <v>7</v>
      </c>
      <c r="B4" s="2" t="s">
        <v>2</v>
      </c>
      <c r="C4" s="2" t="s">
        <v>15</v>
      </c>
      <c r="D4" s="2">
        <v>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205D-AAB4-441A-82CE-6D93DCFD22D2}">
  <dimension ref="A1:E5"/>
  <sheetViews>
    <sheetView tabSelected="1" workbookViewId="0">
      <selection activeCell="E11" sqref="E11"/>
    </sheetView>
  </sheetViews>
  <sheetFormatPr defaultRowHeight="14.25" x14ac:dyDescent="0.45"/>
  <cols>
    <col min="5" max="5" width="12.33203125" customWidth="1"/>
  </cols>
  <sheetData>
    <row r="1" spans="1:5" ht="28.5" x14ac:dyDescent="0.45">
      <c r="A1" s="3" t="s">
        <v>20</v>
      </c>
      <c r="B1" s="3" t="s">
        <v>9</v>
      </c>
      <c r="C1" s="3" t="s">
        <v>3</v>
      </c>
      <c r="E1" s="3" t="s">
        <v>21</v>
      </c>
    </row>
    <row r="2" spans="1:5" x14ac:dyDescent="0.45">
      <c r="A2" s="2">
        <v>101</v>
      </c>
      <c r="B2" s="2" t="s">
        <v>0</v>
      </c>
      <c r="C2" s="2">
        <v>45000</v>
      </c>
      <c r="D2">
        <v>102</v>
      </c>
      <c r="E2">
        <f>INDEX(C:C,MATCH(D2,A:A,0))</f>
        <v>52000</v>
      </c>
    </row>
    <row r="3" spans="1:5" x14ac:dyDescent="0.45">
      <c r="A3" s="2">
        <v>102</v>
      </c>
      <c r="B3" s="2" t="s">
        <v>2</v>
      </c>
      <c r="C3" s="2">
        <v>52000</v>
      </c>
      <c r="D3">
        <v>104</v>
      </c>
      <c r="E3">
        <f>INDEX(C:C,MATCH(D3,A:A,0))</f>
        <v>61000</v>
      </c>
    </row>
    <row r="4" spans="1:5" x14ac:dyDescent="0.45">
      <c r="A4" s="2">
        <v>103</v>
      </c>
      <c r="B4" s="2" t="s">
        <v>1</v>
      </c>
      <c r="C4" s="2">
        <v>38000</v>
      </c>
      <c r="D4">
        <v>103</v>
      </c>
      <c r="E4">
        <f>INDEX(C:C,MATCH(D4,A:A,0))</f>
        <v>38000</v>
      </c>
    </row>
    <row r="5" spans="1:5" x14ac:dyDescent="0.45">
      <c r="A5" s="2">
        <v>104</v>
      </c>
      <c r="B5" s="2" t="s">
        <v>12</v>
      </c>
      <c r="C5" s="2">
        <v>61000</v>
      </c>
      <c r="D5">
        <v>102</v>
      </c>
      <c r="E5">
        <f>INDEX(C:C,MATCH(D5,A:A,0))</f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LP</dc:creator>
  <cp:lastModifiedBy>CT LP</cp:lastModifiedBy>
  <dcterms:created xsi:type="dcterms:W3CDTF">2015-06-05T18:17:20Z</dcterms:created>
  <dcterms:modified xsi:type="dcterms:W3CDTF">2026-08-25T18:17:34Z</dcterms:modified>
</cp:coreProperties>
</file>