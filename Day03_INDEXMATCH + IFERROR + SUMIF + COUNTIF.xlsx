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tlp0\Music\Folder\"/>
    </mc:Choice>
  </mc:AlternateContent>
  <xr:revisionPtr revIDLastSave="0" documentId="13_ncr:1_{FCA25E47-A065-4368-AB5B-34EEEA46233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dex Match and IF ERROR" sheetId="2" r:id="rId1"/>
    <sheet name="SUMIF and COUNTI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5" i="3"/>
  <c r="G4" i="3"/>
  <c r="G3" i="3"/>
  <c r="D6" i="2"/>
  <c r="D3" i="2"/>
  <c r="D4" i="2"/>
  <c r="D2" i="2"/>
  <c r="D5" i="2"/>
</calcChain>
</file>

<file path=xl/sharedStrings.xml><?xml version="1.0" encoding="utf-8"?>
<sst xmlns="http://schemas.openxmlformats.org/spreadsheetml/2006/main" count="54" uniqueCount="39">
  <si>
    <t>Salary</t>
  </si>
  <si>
    <t>Ravi</t>
  </si>
  <si>
    <t>Sneha</t>
  </si>
  <si>
    <t>Arjun</t>
  </si>
  <si>
    <t>Product_ID</t>
  </si>
  <si>
    <t>Product_Name</t>
  </si>
  <si>
    <t>Category</t>
  </si>
  <si>
    <t>P101</t>
  </si>
  <si>
    <t>Laptop</t>
  </si>
  <si>
    <t>Electronics</t>
  </si>
  <si>
    <t>P102</t>
  </si>
  <si>
    <t>Mouse</t>
  </si>
  <si>
    <t>P103</t>
  </si>
  <si>
    <t>Keyboard</t>
  </si>
  <si>
    <t>P104</t>
  </si>
  <si>
    <t>Office Chair</t>
  </si>
  <si>
    <t>Furniture</t>
  </si>
  <si>
    <t>P105</t>
  </si>
  <si>
    <t>Desk</t>
  </si>
  <si>
    <t>Price</t>
  </si>
  <si>
    <t>Index match formula</t>
  </si>
  <si>
    <t>Employee_ID</t>
  </si>
  <si>
    <t>Employee_Name</t>
  </si>
  <si>
    <t>Department</t>
  </si>
  <si>
    <t>Sales</t>
  </si>
  <si>
    <t>Priya</t>
  </si>
  <si>
    <t>Finance</t>
  </si>
  <si>
    <t>IT</t>
  </si>
  <si>
    <t>HR</t>
  </si>
  <si>
    <t>Kiran</t>
  </si>
  <si>
    <t>Meena</t>
  </si>
  <si>
    <t>Rahul</t>
  </si>
  <si>
    <t>Kavya</t>
  </si>
  <si>
    <t>Anil</t>
  </si>
  <si>
    <t>Divya</t>
  </si>
  <si>
    <t>Sum</t>
  </si>
  <si>
    <t>SUMIF - Sales</t>
  </si>
  <si>
    <t>COUNTIF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</si>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</sst>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BC98-12B4-4F82-9BEB-4F8706FC2859}">
  <dimension ref="A1:H6"/>
  <sheetViews>
    <sheetView workbookViewId="0">
      <selection activeCell="E10" sqref="E10"/>
    </sheetView>
  </sheetViews>
  <sheetFormatPr defaultColWidth="13.33203125" defaultRowHeight="14.25" x14ac:dyDescent="0.45"/>
  <cols>
    <col min="4" max="4" width="17.796875" bestFit="1" customWidth="1"/>
  </cols>
  <sheetData>
    <row r="1" spans="1:8" x14ac:dyDescent="0.45">
      <c r="A1" s="4" t="s">
        <v>4</v>
      </c>
      <c r="B1" s="5" t="s">
        <v>5</v>
      </c>
      <c r="C1" s="5" t="s">
        <v>6</v>
      </c>
      <c r="D1" s="6" t="s">
        <v>20</v>
      </c>
      <c r="G1" s="5" t="s">
        <v>4</v>
      </c>
      <c r="H1" s="4" t="s">
        <v>19</v>
      </c>
    </row>
    <row r="2" spans="1:8" x14ac:dyDescent="0.45">
      <c r="A2" s="3" t="s">
        <v>7</v>
      </c>
      <c r="B2" s="2" t="s">
        <v>8</v>
      </c>
      <c r="C2" s="2" t="s">
        <v>9</v>
      </c>
      <c r="D2">
        <f>INDEX(H:H,MATCH(G2,G:G,0))</f>
        <v>55000</v>
      </c>
      <c r="G2" s="2" t="s">
        <v>7</v>
      </c>
      <c r="H2" s="3">
        <v>55000</v>
      </c>
    </row>
    <row r="3" spans="1:8" x14ac:dyDescent="0.45">
      <c r="A3" s="3" t="s">
        <v>10</v>
      </c>
      <c r="B3" s="2" t="s">
        <v>11</v>
      </c>
      <c r="C3" s="2" t="s">
        <v>9</v>
      </c>
      <c r="D3">
        <f t="shared" ref="D3:D4" si="0">INDEX(H:H,MATCH(G3,G:G,0))</f>
        <v>800</v>
      </c>
      <c r="G3" s="2" t="s">
        <v>10</v>
      </c>
      <c r="H3" s="3">
        <v>800</v>
      </c>
    </row>
    <row r="4" spans="1:8" x14ac:dyDescent="0.45">
      <c r="A4" s="3" t="s">
        <v>12</v>
      </c>
      <c r="B4" s="2" t="s">
        <v>13</v>
      </c>
      <c r="C4" s="2" t="s">
        <v>9</v>
      </c>
      <c r="D4">
        <f t="shared" si="0"/>
        <v>1500</v>
      </c>
      <c r="G4" s="2" t="s">
        <v>12</v>
      </c>
      <c r="H4" s="3">
        <v>1500</v>
      </c>
    </row>
    <row r="5" spans="1:8" x14ac:dyDescent="0.45">
      <c r="A5" s="3" t="s">
        <v>14</v>
      </c>
      <c r="B5" s="2" t="s">
        <v>15</v>
      </c>
      <c r="C5" s="2" t="s">
        <v>16</v>
      </c>
      <c r="D5">
        <f>INDEX(H:H,MATCH(G5,G:G,0))</f>
        <v>7000</v>
      </c>
      <c r="G5" s="2" t="s">
        <v>14</v>
      </c>
      <c r="H5" s="3">
        <v>7000</v>
      </c>
    </row>
    <row r="6" spans="1:8" x14ac:dyDescent="0.45">
      <c r="A6" s="3" t="s">
        <v>17</v>
      </c>
      <c r="B6" s="2" t="s">
        <v>18</v>
      </c>
      <c r="C6" s="2" t="s">
        <v>16</v>
      </c>
      <c r="D6">
        <f>IFERROR(INDEX(H:H,MATCH(G6,G:G,0)),"Hey Buddy Formula wrong")</f>
        <v>15000</v>
      </c>
      <c r="G6" s="2" t="s">
        <v>17</v>
      </c>
      <c r="H6" s="3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F126-0732-498F-8DFF-1D9909ED557D}">
  <dimension ref="A1:G11"/>
  <sheetViews>
    <sheetView tabSelected="1" workbookViewId="0">
      <selection activeCell="E21" sqref="E21"/>
    </sheetView>
  </sheetViews>
  <sheetFormatPr defaultColWidth="15.59765625" defaultRowHeight="14.25" x14ac:dyDescent="0.45"/>
  <sheetData>
    <row r="1" spans="1:7" ht="28.5" x14ac:dyDescent="0.45">
      <c r="A1" s="4" t="s">
        <v>21</v>
      </c>
      <c r="B1" s="5" t="s">
        <v>22</v>
      </c>
      <c r="C1" s="5" t="s">
        <v>23</v>
      </c>
      <c r="D1" s="4" t="s">
        <v>0</v>
      </c>
    </row>
    <row r="2" spans="1:7" x14ac:dyDescent="0.45">
      <c r="A2" s="3">
        <v>101</v>
      </c>
      <c r="B2" s="2" t="s">
        <v>1</v>
      </c>
      <c r="C2" s="2" t="s">
        <v>24</v>
      </c>
      <c r="D2" s="3">
        <v>45000</v>
      </c>
    </row>
    <row r="3" spans="1:7" x14ac:dyDescent="0.45">
      <c r="A3" s="3">
        <v>102</v>
      </c>
      <c r="B3" s="2" t="s">
        <v>25</v>
      </c>
      <c r="C3" s="2" t="s">
        <v>26</v>
      </c>
      <c r="D3" s="3">
        <v>52000</v>
      </c>
      <c r="F3" s="7" t="s">
        <v>35</v>
      </c>
      <c r="G3" s="8">
        <f>SUM(D2:D11)</f>
        <v>546000</v>
      </c>
    </row>
    <row r="4" spans="1:7" x14ac:dyDescent="0.45">
      <c r="A4" s="3">
        <v>103</v>
      </c>
      <c r="B4" s="2" t="s">
        <v>3</v>
      </c>
      <c r="C4" s="2" t="s">
        <v>27</v>
      </c>
      <c r="D4" s="3">
        <v>65000</v>
      </c>
      <c r="F4" s="1" t="s">
        <v>36</v>
      </c>
      <c r="G4" s="6">
        <f>SUMIF(C:C,"Sales",D:D)</f>
        <v>168000</v>
      </c>
    </row>
    <row r="5" spans="1:7" x14ac:dyDescent="0.45">
      <c r="A5" s="3">
        <v>104</v>
      </c>
      <c r="B5" s="2" t="s">
        <v>2</v>
      </c>
      <c r="C5" s="2" t="s">
        <v>28</v>
      </c>
      <c r="D5" s="3">
        <v>40000</v>
      </c>
      <c r="F5" s="8" t="s">
        <v>38</v>
      </c>
      <c r="G5">
        <f>COUNT(D2:D11)</f>
        <v>10</v>
      </c>
    </row>
    <row r="6" spans="1:7" x14ac:dyDescent="0.45">
      <c r="A6" s="3">
        <v>105</v>
      </c>
      <c r="B6" s="2" t="s">
        <v>29</v>
      </c>
      <c r="C6" s="2" t="s">
        <v>24</v>
      </c>
      <c r="D6" s="3">
        <v>75000</v>
      </c>
      <c r="F6" s="6" t="s">
        <v>37</v>
      </c>
      <c r="G6" s="6">
        <f>COUNTIF(C:C,"IT")</f>
        <v>3</v>
      </c>
    </row>
    <row r="7" spans="1:7" x14ac:dyDescent="0.45">
      <c r="A7" s="3">
        <v>106</v>
      </c>
      <c r="B7" s="2" t="s">
        <v>30</v>
      </c>
      <c r="C7" s="2" t="s">
        <v>27</v>
      </c>
      <c r="D7" s="3">
        <v>58000</v>
      </c>
    </row>
    <row r="8" spans="1:7" x14ac:dyDescent="0.45">
      <c r="A8" s="3">
        <v>107</v>
      </c>
      <c r="B8" s="2" t="s">
        <v>31</v>
      </c>
      <c r="C8" s="2" t="s">
        <v>26</v>
      </c>
      <c r="D8" s="3">
        <v>50000</v>
      </c>
    </row>
    <row r="9" spans="1:7" x14ac:dyDescent="0.45">
      <c r="A9" s="3">
        <v>108</v>
      </c>
      <c r="B9" s="2" t="s">
        <v>32</v>
      </c>
      <c r="C9" s="2" t="s">
        <v>28</v>
      </c>
      <c r="D9" s="3">
        <v>43000</v>
      </c>
    </row>
    <row r="10" spans="1:7" x14ac:dyDescent="0.45">
      <c r="A10" s="3">
        <v>109</v>
      </c>
      <c r="B10" s="2" t="s">
        <v>33</v>
      </c>
      <c r="C10" s="2" t="s">
        <v>27</v>
      </c>
      <c r="D10" s="3">
        <v>70000</v>
      </c>
    </row>
    <row r="11" spans="1:7" x14ac:dyDescent="0.45">
      <c r="A11" s="3">
        <v>110</v>
      </c>
      <c r="B11" s="2" t="s">
        <v>34</v>
      </c>
      <c r="C11" s="2" t="s">
        <v>24</v>
      </c>
      <c r="D11" s="3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Match and IF ERROR</vt:lpstr>
      <vt:lpstr>SUMIF and 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LP</dc:creator>
  <cp:lastModifiedBy>CT LP</cp:lastModifiedBy>
  <dcterms:created xsi:type="dcterms:W3CDTF">2015-06-05T18:17:20Z</dcterms:created>
  <dcterms:modified xsi:type="dcterms:W3CDTF">2026-08-26T17:27:57Z</dcterms:modified>
</cp:coreProperties>
</file>